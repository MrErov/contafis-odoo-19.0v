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S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PLANIL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333333"/>
      <sz val="10"/>
    </font>
    <font>
      <name val="Calibri"/>
      <b val="1"/>
      <color rgb="001F4E78"/>
      <sz val="12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4" fontId="5" fillId="0" borderId="2" applyAlignment="1" pivotButton="0" quotePrefix="0" xfId="0">
      <alignment horizontal="right"/>
    </xf>
    <xf numFmtId="0" fontId="3" fillId="2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2" fillId="3" borderId="0" pivotButton="0" quotePrefix="0" xfId="0"/>
    <xf numFmtId="4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1" customWidth="1" min="2" max="2"/>
    <col width="13" customWidth="1" min="3" max="3"/>
    <col width="53" customWidth="1" min="4" max="4"/>
    <col width="46" customWidth="1" min="5" max="5"/>
    <col width="20" customWidth="1" min="6" max="6"/>
    <col width="27" customWidth="1" min="7" max="7"/>
    <col width="21" customWidth="1" min="8" max="8"/>
    <col width="20" customWidth="1" min="9" max="9"/>
    <col width="20" customWidth="1" min="10" max="10"/>
    <col width="20" customWidth="1" min="11" max="11"/>
    <col width="18" customWidth="1" min="12" max="12"/>
    <col width="19" customWidth="1" min="13" max="13"/>
    <col width="19" customWidth="1" min="14" max="14"/>
    <col width="19" customWidth="1" min="15" max="15"/>
    <col width="26" customWidth="1" min="16" max="16"/>
    <col width="13" customWidth="1" min="17" max="17"/>
    <col width="42" customWidth="1" min="18" max="18"/>
    <col width="23" customWidth="1" min="19" max="19"/>
    <col width="22" customWidth="1" min="20" max="20"/>
    <col width="43" customWidth="1" min="21" max="21"/>
    <col width="21" customWidth="1" min="22" max="22"/>
    <col width="28" customWidth="1" min="23" max="23"/>
    <col width="50" customWidth="1" min="24" max="24"/>
    <col width="25" customWidth="1" min="25" max="25"/>
    <col width="27" customWidth="1" min="26" max="26"/>
    <col width="28" customWidth="1" min="27" max="27"/>
    <col width="20" customWidth="1" min="28" max="28"/>
    <col width="29" customWidth="1" min="29" max="29"/>
    <col width="39" customWidth="1" min="30" max="30"/>
    <col width="29" customWidth="1" min="31" max="31"/>
  </cols>
  <sheetData>
    <row r="1">
      <c r="B1" s="1" t="inlineStr">
        <is>
          <t>EMPRESA:</t>
        </is>
      </c>
      <c r="E1" s="2" t="inlineStr">
        <is>
          <t>EMPRESA FICTICIA, C.A.</t>
        </is>
      </c>
    </row>
    <row r="2">
      <c r="B2" s="1" t="inlineStr">
        <is>
          <t>R.I.F.:</t>
        </is>
      </c>
      <c r="E2" s="1" t="inlineStr">
        <is>
          <t>J-00000000-0</t>
        </is>
      </c>
    </row>
    <row r="3">
      <c r="B3" s="1" t="inlineStr">
        <is>
          <t>DIRECCION:</t>
        </is>
      </c>
      <c r="E3" t="inlineStr">
        <is>
          <t>CARRERA 15 CON CALLE 38, BARQUISIMETO, LARA</t>
        </is>
      </c>
    </row>
    <row r="4">
      <c r="B4" s="1" t="inlineStr">
        <is>
          <t>CONTRIBUYENTE ORDINARIO</t>
        </is>
      </c>
    </row>
    <row r="5">
      <c r="B5" s="1" t="inlineStr">
        <is>
          <t>Libro de Compras (IVA) Mes AGOSTO 2026</t>
        </is>
      </c>
    </row>
    <row r="7">
      <c r="B7" s="3" t="inlineStr">
        <is>
          <t>No.</t>
        </is>
      </c>
      <c r="C7" s="3" t="inlineStr">
        <is>
          <t>Fecha</t>
        </is>
      </c>
      <c r="D7" s="3" t="inlineStr">
        <is>
          <t>R.I.F.</t>
        </is>
      </c>
      <c r="E7" s="3" t="inlineStr">
        <is>
          <t>Nombre o Razon Social</t>
        </is>
      </c>
      <c r="F7" s="3" t="inlineStr">
        <is>
          <t>Tipo de Proveedor</t>
        </is>
      </c>
      <c r="G7" s="3" t="inlineStr">
        <is>
          <t>Num.Planilla Importación</t>
        </is>
      </c>
      <c r="H7" s="3" t="inlineStr">
        <is>
          <t>Fecha Decl. Aduana</t>
        </is>
      </c>
      <c r="I7" s="3" t="inlineStr">
        <is>
          <t>Num. Expediente</t>
        </is>
      </c>
      <c r="J7" s="3" t="inlineStr">
        <is>
          <t>Numero de Factura</t>
        </is>
      </c>
      <c r="K7" s="3" t="inlineStr">
        <is>
          <t>Numero de control</t>
        </is>
      </c>
      <c r="L7" s="3" t="inlineStr">
        <is>
          <t>No. Nota Débito</t>
        </is>
      </c>
      <c r="M7" s="3" t="inlineStr">
        <is>
          <t>No. Nota Crédito</t>
        </is>
      </c>
      <c r="N7" s="3" t="inlineStr">
        <is>
          <t>Tipo de Transac.</t>
        </is>
      </c>
      <c r="O7" s="3" t="inlineStr">
        <is>
          <t>No. Fact. Afect.</t>
        </is>
      </c>
      <c r="P7" s="3" t="inlineStr">
        <is>
          <t>Total Compras Incl. IVA</t>
        </is>
      </c>
      <c r="Q7" s="3" t="inlineStr">
        <is>
          <t>Alicuota %</t>
        </is>
      </c>
      <c r="R7" s="3" t="inlineStr">
        <is>
          <t>Compras sin Derecho Crédito Importación</t>
        </is>
      </c>
      <c r="S7" s="3" t="inlineStr">
        <is>
          <t>Base Importación 16%</t>
        </is>
      </c>
      <c r="T7" s="3" t="inlineStr">
        <is>
          <t>IVA Importación 16%</t>
        </is>
      </c>
      <c r="U7" s="3" t="inlineStr">
        <is>
          <t>Compras sin Derecho a Crédito (Nacional)</t>
        </is>
      </c>
      <c r="V7" s="3" t="inlineStr">
        <is>
          <t>Compras NO SUJETAS</t>
        </is>
      </c>
      <c r="W7" s="3" t="inlineStr">
        <is>
          <t>Base Alicuota General 16%</t>
        </is>
      </c>
      <c r="X7" s="3" t="inlineStr">
        <is>
          <t>I.V.A. Alicuota General 16%</t>
        </is>
      </c>
      <c r="Y7" s="3" t="inlineStr">
        <is>
          <t>Base Alicuota Reducida</t>
        </is>
      </c>
      <c r="Z7" s="3" t="inlineStr">
        <is>
          <t>I.V.A. Alicuota Reducida</t>
        </is>
      </c>
      <c r="AA7" s="3" t="inlineStr">
        <is>
          <t>Nº Comprob. Retención 75%</t>
        </is>
      </c>
      <c r="AB7" s="3" t="inlineStr">
        <is>
          <t>Fecha Comprobante</t>
        </is>
      </c>
      <c r="AC7" s="3" t="inlineStr">
        <is>
          <t>IVA Retenido (al Vendedor)</t>
        </is>
      </c>
      <c r="AD7" s="3" t="inlineStr">
        <is>
          <t>IVA Retenido (a Terceros)</t>
        </is>
      </c>
      <c r="AE7" s="3" t="inlineStr">
        <is>
          <t>Anticipo IVA (Importación)</t>
        </is>
      </c>
    </row>
    <row r="8">
      <c r="B8" s="4" t="n">
        <v>1</v>
      </c>
      <c r="C8" s="4" t="inlineStr">
        <is>
          <t>2026-08-01</t>
        </is>
      </c>
      <c r="D8" s="4" t="inlineStr">
        <is>
          <t>J-31167790-7</t>
        </is>
      </c>
      <c r="E8" s="5" t="inlineStr">
        <is>
          <t>Servicios Nacional Martinez, C.A.</t>
        </is>
      </c>
      <c r="F8" s="4" t="inlineStr">
        <is>
          <t>Nacional</t>
        </is>
      </c>
      <c r="G8" s="4" t="inlineStr"/>
      <c r="H8" s="4" t="inlineStr"/>
      <c r="I8" s="4" t="inlineStr"/>
      <c r="J8" s="4" t="inlineStr">
        <is>
          <t>00013300</t>
        </is>
      </c>
      <c r="K8" s="4" t="inlineStr">
        <is>
          <t>00013727</t>
        </is>
      </c>
      <c r="L8" s="4" t="inlineStr"/>
      <c r="M8" s="4" t="inlineStr"/>
      <c r="N8" s="4" t="inlineStr">
        <is>
          <t>01-REG</t>
        </is>
      </c>
      <c r="O8" s="4" t="inlineStr"/>
      <c r="P8" s="6" t="n">
        <v>949920.22</v>
      </c>
      <c r="Q8" s="6" t="n">
        <v>16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818896.74</v>
      </c>
      <c r="X8" s="6" t="n">
        <v>131023.48</v>
      </c>
      <c r="Y8" s="6">
        <f>ROUND(W8*0.16, 2)</f>
        <v/>
      </c>
      <c r="Z8" s="6" t="n">
        <v>0</v>
      </c>
      <c r="AA8" s="4" t="inlineStr">
        <is>
          <t>202608000001</t>
        </is>
      </c>
      <c r="AB8" s="4" t="inlineStr">
        <is>
          <t>2026-08-01</t>
        </is>
      </c>
      <c r="AC8" s="6" t="n">
        <v>98267.61</v>
      </c>
      <c r="AD8" s="6" t="n">
        <v>0</v>
      </c>
      <c r="AE8" s="6" t="n">
        <v>0</v>
      </c>
    </row>
    <row r="9">
      <c r="B9" s="4" t="n">
        <v>2</v>
      </c>
      <c r="C9" s="4" t="inlineStr">
        <is>
          <t>2026-08-03</t>
        </is>
      </c>
      <c r="D9" s="4" t="inlineStr">
        <is>
          <t>J-39204516-4</t>
        </is>
      </c>
      <c r="E9" s="5" t="inlineStr">
        <is>
          <t>Grupo Centro Ramirez, S.A.</t>
        </is>
      </c>
      <c r="F9" s="4" t="inlineStr">
        <is>
          <t>Nacional</t>
        </is>
      </c>
      <c r="G9" s="4" t="inlineStr"/>
      <c r="H9" s="4" t="inlineStr"/>
      <c r="I9" s="4" t="inlineStr"/>
      <c r="J9" s="4" t="inlineStr">
        <is>
          <t>00045210</t>
        </is>
      </c>
      <c r="K9" s="4" t="inlineStr">
        <is>
          <t>00009821</t>
        </is>
      </c>
      <c r="L9" s="4" t="inlineStr"/>
      <c r="M9" s="4" t="inlineStr"/>
      <c r="N9" s="4" t="inlineStr">
        <is>
          <t>01-REG</t>
        </is>
      </c>
      <c r="O9" s="4" t="inlineStr"/>
      <c r="P9" s="6" t="n">
        <v>350000</v>
      </c>
      <c r="Q9" s="6" t="n">
        <v>16</v>
      </c>
      <c r="R9" s="6" t="n">
        <v>0</v>
      </c>
      <c r="S9" s="6" t="n">
        <v>0</v>
      </c>
      <c r="T9" s="6" t="n">
        <v>0</v>
      </c>
      <c r="U9" s="6" t="n">
        <v>50000</v>
      </c>
      <c r="V9" s="6" t="n">
        <v>0</v>
      </c>
      <c r="W9" s="6" t="n">
        <v>258620.69</v>
      </c>
      <c r="X9" s="6" t="n">
        <v>41379.31</v>
      </c>
      <c r="Y9" s="6">
        <f>ROUND(W9*0.16, 2)</f>
        <v/>
      </c>
      <c r="Z9" s="6" t="n">
        <v>0</v>
      </c>
      <c r="AA9" s="4" t="inlineStr">
        <is>
          <t>202608000002</t>
        </is>
      </c>
      <c r="AB9" s="4" t="inlineStr">
        <is>
          <t>2026-08-03</t>
        </is>
      </c>
      <c r="AC9" s="6" t="n">
        <v>31034.48</v>
      </c>
      <c r="AD9" s="6" t="n">
        <v>0</v>
      </c>
      <c r="AE9" s="6" t="n">
        <v>0</v>
      </c>
    </row>
    <row r="10">
      <c r="B10" s="4" t="n">
        <v>3</v>
      </c>
      <c r="C10" s="4" t="inlineStr">
        <is>
          <t>2026-08-05</t>
        </is>
      </c>
      <c r="D10" s="4" t="inlineStr">
        <is>
          <t>J-57030524-8</t>
        </is>
      </c>
      <c r="E10" s="5" t="inlineStr">
        <is>
          <t>Distribuidora Centro Ramirez, C.A.</t>
        </is>
      </c>
      <c r="F10" s="4" t="inlineStr">
        <is>
          <t>Nacional</t>
        </is>
      </c>
      <c r="G10" s="4" t="inlineStr"/>
      <c r="H10" s="4" t="inlineStr"/>
      <c r="I10" s="4" t="inlineStr"/>
      <c r="J10" s="4" t="inlineStr">
        <is>
          <t>00008812</t>
        </is>
      </c>
      <c r="K10" s="4" t="inlineStr">
        <is>
          <t>00008812</t>
        </is>
      </c>
      <c r="L10" s="4" t="inlineStr"/>
      <c r="M10" s="4" t="inlineStr"/>
      <c r="N10" s="4" t="inlineStr">
        <is>
          <t>01-REG</t>
        </is>
      </c>
      <c r="O10" s="4" t="inlineStr"/>
      <c r="P10" s="6" t="n">
        <v>180000</v>
      </c>
      <c r="Q10" s="6" t="n">
        <v>16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155172.41</v>
      </c>
      <c r="X10" s="6" t="n">
        <v>24827.59</v>
      </c>
      <c r="Y10" s="6">
        <f>ROUND(W10*0.16, 2)</f>
        <v/>
      </c>
      <c r="Z10" s="6" t="n">
        <v>0</v>
      </c>
      <c r="AA10" s="4" t="inlineStr">
        <is>
          <t>202608000003</t>
        </is>
      </c>
      <c r="AB10" s="4" t="inlineStr">
        <is>
          <t>2026-08-05</t>
        </is>
      </c>
      <c r="AC10" s="6" t="n">
        <v>18620.69</v>
      </c>
      <c r="AD10" s="6" t="n">
        <v>0</v>
      </c>
      <c r="AE10" s="6" t="n">
        <v>0</v>
      </c>
    </row>
    <row r="11">
      <c r="B11" s="4" t="n">
        <v>4</v>
      </c>
      <c r="C11" s="4" t="inlineStr">
        <is>
          <t>2026-08-08</t>
        </is>
      </c>
      <c r="D11" s="4" t="inlineStr">
        <is>
          <t>J-38486360-8</t>
        </is>
      </c>
      <c r="E11" s="5" t="inlineStr">
        <is>
          <t>Grupo Sur Perez, S.R.L.</t>
        </is>
      </c>
      <c r="F11" s="4" t="inlineStr">
        <is>
          <t>Nacional</t>
        </is>
      </c>
      <c r="G11" s="4" t="inlineStr"/>
      <c r="H11" s="4" t="inlineStr"/>
      <c r="I11" s="4" t="inlineStr"/>
      <c r="J11" s="4" t="inlineStr">
        <is>
          <t>00003411</t>
        </is>
      </c>
      <c r="K11" s="4" t="inlineStr">
        <is>
          <t>00003411</t>
        </is>
      </c>
      <c r="L11" s="4" t="inlineStr"/>
      <c r="M11" s="4" t="inlineStr"/>
      <c r="N11" s="4" t="inlineStr">
        <is>
          <t>01-REG</t>
        </is>
      </c>
      <c r="O11" s="4" t="inlineStr"/>
      <c r="P11" s="6" t="n">
        <v>220000</v>
      </c>
      <c r="Q11" s="6" t="n">
        <v>16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189655.17</v>
      </c>
      <c r="X11" s="6" t="n">
        <v>30344.83</v>
      </c>
      <c r="Y11" s="6">
        <f>ROUND(W11*0.16, 2)</f>
        <v/>
      </c>
      <c r="Z11" s="6" t="n">
        <v>0</v>
      </c>
      <c r="AA11" s="4" t="inlineStr">
        <is>
          <t>202608000004</t>
        </is>
      </c>
      <c r="AB11" s="4" t="inlineStr">
        <is>
          <t>2026-08-08</t>
        </is>
      </c>
      <c r="AC11" s="6" t="n">
        <v>22758.62</v>
      </c>
      <c r="AD11" s="6" t="n">
        <v>0</v>
      </c>
      <c r="AE11" s="6" t="n">
        <v>0</v>
      </c>
    </row>
    <row r="12">
      <c r="B12" s="4" t="n">
        <v>5</v>
      </c>
      <c r="C12" s="4" t="inlineStr">
        <is>
          <t>2026-08-12</t>
        </is>
      </c>
      <c r="D12" s="4" t="inlineStr">
        <is>
          <t>J-94122085-5</t>
        </is>
      </c>
      <c r="E12" s="5" t="inlineStr">
        <is>
          <t>Grupo Sur Rodriguez, C.A.</t>
        </is>
      </c>
      <c r="F12" s="4" t="inlineStr">
        <is>
          <t>Nacional</t>
        </is>
      </c>
      <c r="G12" s="4" t="inlineStr"/>
      <c r="H12" s="4" t="inlineStr"/>
      <c r="I12" s="4" t="inlineStr"/>
      <c r="J12" s="4" t="inlineStr">
        <is>
          <t>00099823</t>
        </is>
      </c>
      <c r="K12" s="4" t="inlineStr">
        <is>
          <t>00099823</t>
        </is>
      </c>
      <c r="L12" s="4" t="inlineStr"/>
      <c r="M12" s="4" t="inlineStr"/>
      <c r="N12" s="4" t="inlineStr">
        <is>
          <t>01-REG</t>
        </is>
      </c>
      <c r="O12" s="4" t="inlineStr"/>
      <c r="P12" s="6" t="n">
        <v>95000</v>
      </c>
      <c r="Q12" s="6" t="n">
        <v>16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81896.55</v>
      </c>
      <c r="X12" s="6" t="n">
        <v>13103.45</v>
      </c>
      <c r="Y12" s="6">
        <f>ROUND(W12*0.16, 2)</f>
        <v/>
      </c>
      <c r="Z12" s="6" t="n">
        <v>0</v>
      </c>
      <c r="AA12" s="4" t="inlineStr">
        <is>
          <t>202608000005</t>
        </is>
      </c>
      <c r="AB12" s="4" t="inlineStr">
        <is>
          <t>2026-08-12</t>
        </is>
      </c>
      <c r="AC12" s="6" t="n">
        <v>9827.59</v>
      </c>
      <c r="AD12" s="6" t="n">
        <v>0</v>
      </c>
      <c r="AE12" s="6" t="n">
        <v>0</v>
      </c>
    </row>
    <row r="13">
      <c r="B13" s="4" t="n">
        <v>6</v>
      </c>
      <c r="C13" s="4" t="inlineStr">
        <is>
          <t>2026-08-15</t>
        </is>
      </c>
      <c r="D13" s="4" t="inlineStr">
        <is>
          <t>J002345678</t>
        </is>
      </c>
      <c r="E13" s="5" t="inlineStr">
        <is>
          <t>SENIAT / ADUANA PRINCIPAL C-80</t>
        </is>
      </c>
      <c r="F13" s="4" t="inlineStr">
        <is>
          <t>Importación</t>
        </is>
      </c>
      <c r="G13" s="4" t="inlineStr">
        <is>
          <t>C-80-4512</t>
        </is>
      </c>
      <c r="H13" s="4" t="inlineStr">
        <is>
          <t>2026-08-14</t>
        </is>
      </c>
      <c r="I13" s="4" t="inlineStr">
        <is>
          <t>EXP-2026-881</t>
        </is>
      </c>
      <c r="J13" s="4" t="inlineStr">
        <is>
          <t>00000000</t>
        </is>
      </c>
      <c r="K13" s="4" t="inlineStr">
        <is>
          <t>00000000</t>
        </is>
      </c>
      <c r="L13" s="4" t="inlineStr"/>
      <c r="M13" s="4" t="inlineStr"/>
      <c r="N13" s="4" t="inlineStr">
        <is>
          <t>01-REG</t>
        </is>
      </c>
      <c r="O13" s="4" t="inlineStr"/>
      <c r="P13" s="6" t="n">
        <v>464000</v>
      </c>
      <c r="Q13" s="6" t="n">
        <v>16</v>
      </c>
      <c r="R13" s="6" t="n">
        <v>0</v>
      </c>
      <c r="S13" s="6" t="n">
        <v>400000</v>
      </c>
      <c r="T13" s="6" t="n">
        <v>64000</v>
      </c>
      <c r="U13" s="6" t="n">
        <v>0</v>
      </c>
      <c r="V13" s="6" t="n">
        <v>0</v>
      </c>
      <c r="W13" s="6" t="n">
        <v>0</v>
      </c>
      <c r="X13" s="6" t="n">
        <v>0</v>
      </c>
      <c r="Y13" s="6">
        <f>ROUND(W13*0.16, 2)</f>
        <v/>
      </c>
      <c r="Z13" s="6" t="n">
        <v>0</v>
      </c>
      <c r="AA13" s="4" t="inlineStr"/>
      <c r="AB13" s="4" t="inlineStr"/>
      <c r="AC13" s="6" t="n">
        <v>0</v>
      </c>
      <c r="AD13" s="6" t="n">
        <v>0</v>
      </c>
      <c r="AE13" s="6" t="n">
        <v>64000</v>
      </c>
    </row>
    <row r="14">
      <c r="B14" s="4" t="n">
        <v>7</v>
      </c>
      <c r="C14" s="4" t="inlineStr">
        <is>
          <t>2026-08-18</t>
        </is>
      </c>
      <c r="D14" s="4" t="inlineStr">
        <is>
          <t>J-44486413-7</t>
        </is>
      </c>
      <c r="E14" s="5" t="inlineStr">
        <is>
          <t>Grupo Oriente Perez, S.R.L.</t>
        </is>
      </c>
      <c r="F14" s="4" t="inlineStr">
        <is>
          <t>Nacional</t>
        </is>
      </c>
      <c r="G14" s="4" t="inlineStr"/>
      <c r="H14" s="4" t="inlineStr"/>
      <c r="I14" s="4" t="inlineStr"/>
      <c r="J14" s="4" t="inlineStr">
        <is>
          <t>00001554</t>
        </is>
      </c>
      <c r="K14" s="4" t="inlineStr">
        <is>
          <t>00001554</t>
        </is>
      </c>
      <c r="L14" s="4" t="inlineStr"/>
      <c r="M14" s="4" t="inlineStr"/>
      <c r="N14" s="4" t="inlineStr">
        <is>
          <t>01-REG</t>
        </is>
      </c>
      <c r="O14" s="4" t="inlineStr"/>
      <c r="P14" s="6" t="n">
        <v>145000</v>
      </c>
      <c r="Q14" s="6" t="n">
        <v>16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125000</v>
      </c>
      <c r="X14" s="6" t="n">
        <v>20000</v>
      </c>
      <c r="Y14" s="6">
        <f>ROUND(W14*0.16, 2)</f>
        <v/>
      </c>
      <c r="Z14" s="6" t="n">
        <v>0</v>
      </c>
      <c r="AA14" s="4" t="inlineStr">
        <is>
          <t>202608000006</t>
        </is>
      </c>
      <c r="AB14" s="4" t="inlineStr">
        <is>
          <t>2026-08-18</t>
        </is>
      </c>
      <c r="AC14" s="6" t="n">
        <v>15000</v>
      </c>
      <c r="AD14" s="6" t="n">
        <v>0</v>
      </c>
      <c r="AE14" s="6" t="n">
        <v>0</v>
      </c>
    </row>
    <row r="15">
      <c r="B15" s="4" t="n">
        <v>8</v>
      </c>
      <c r="C15" s="4" t="inlineStr">
        <is>
          <t>2026-08-21</t>
        </is>
      </c>
      <c r="D15" s="4" t="inlineStr">
        <is>
          <t>J-31167790-7</t>
        </is>
      </c>
      <c r="E15" s="5" t="inlineStr">
        <is>
          <t>Servicios Nacional Martinez, C.A.</t>
        </is>
      </c>
      <c r="F15" s="4" t="inlineStr">
        <is>
          <t>Nacional</t>
        </is>
      </c>
      <c r="G15" s="4" t="inlineStr"/>
      <c r="H15" s="4" t="inlineStr"/>
      <c r="I15" s="4" t="inlineStr"/>
      <c r="J15" s="4" t="inlineStr">
        <is>
          <t>00013450</t>
        </is>
      </c>
      <c r="K15" s="4" t="inlineStr">
        <is>
          <t>00013880</t>
        </is>
      </c>
      <c r="L15" s="4" t="inlineStr"/>
      <c r="M15" s="4" t="inlineStr"/>
      <c r="N15" s="4" t="inlineStr">
        <is>
          <t>01-REG</t>
        </is>
      </c>
      <c r="O15" s="4" t="inlineStr"/>
      <c r="P15" s="6" t="n">
        <v>420000</v>
      </c>
      <c r="Q15" s="6" t="n">
        <v>16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362068.97</v>
      </c>
      <c r="X15" s="6" t="n">
        <v>57931.04</v>
      </c>
      <c r="Y15" s="6">
        <f>ROUND(W15*0.16, 2)</f>
        <v/>
      </c>
      <c r="Z15" s="6" t="n">
        <v>0</v>
      </c>
      <c r="AA15" s="4" t="inlineStr">
        <is>
          <t>202608000007</t>
        </is>
      </c>
      <c r="AB15" s="4" t="inlineStr">
        <is>
          <t>2026-08-21</t>
        </is>
      </c>
      <c r="AC15" s="6" t="n">
        <v>43448.28</v>
      </c>
      <c r="AD15" s="6" t="n">
        <v>0</v>
      </c>
      <c r="AE15" s="6" t="n">
        <v>0</v>
      </c>
    </row>
    <row r="16">
      <c r="B16" s="4" t="n">
        <v>9</v>
      </c>
      <c r="C16" s="4" t="inlineStr">
        <is>
          <t>2026-08-25</t>
        </is>
      </c>
      <c r="D16" s="4" t="inlineStr">
        <is>
          <t>J-82130184-1</t>
        </is>
      </c>
      <c r="E16" s="5" t="inlineStr">
        <is>
          <t>Comercializadora Omega Gomez, S.R.L.</t>
        </is>
      </c>
      <c r="F16" s="4" t="inlineStr">
        <is>
          <t>Nacional</t>
        </is>
      </c>
      <c r="G16" s="4" t="inlineStr"/>
      <c r="H16" s="4" t="inlineStr"/>
      <c r="I16" s="4" t="inlineStr"/>
      <c r="J16" s="4" t="inlineStr">
        <is>
          <t>00000789</t>
        </is>
      </c>
      <c r="K16" s="4" t="inlineStr">
        <is>
          <t>00000789</t>
        </is>
      </c>
      <c r="L16" s="4" t="inlineStr"/>
      <c r="M16" s="4" t="inlineStr"/>
      <c r="N16" s="4" t="inlineStr">
        <is>
          <t>01-REG</t>
        </is>
      </c>
      <c r="O16" s="4" t="inlineStr"/>
      <c r="P16" s="6" t="n">
        <v>110000</v>
      </c>
      <c r="Q16" s="6" t="n">
        <v>16</v>
      </c>
      <c r="R16" s="6" t="n">
        <v>0</v>
      </c>
      <c r="S16" s="6" t="n">
        <v>0</v>
      </c>
      <c r="T16" s="6" t="n">
        <v>0</v>
      </c>
      <c r="U16" s="6" t="n">
        <v>10000</v>
      </c>
      <c r="V16" s="6" t="n">
        <v>0</v>
      </c>
      <c r="W16" s="6" t="n">
        <v>86206.89999999999</v>
      </c>
      <c r="X16" s="6" t="n">
        <v>13793.1</v>
      </c>
      <c r="Y16" s="6">
        <f>ROUND(W16*0.16, 2)</f>
        <v/>
      </c>
      <c r="Z16" s="6" t="n">
        <v>0</v>
      </c>
      <c r="AA16" s="4" t="inlineStr">
        <is>
          <t>202608000008</t>
        </is>
      </c>
      <c r="AB16" s="4" t="inlineStr">
        <is>
          <t>2026-08-25</t>
        </is>
      </c>
      <c r="AC16" s="6" t="n">
        <v>10344.83</v>
      </c>
      <c r="AD16" s="6" t="n">
        <v>0</v>
      </c>
      <c r="AE16" s="6" t="n">
        <v>0</v>
      </c>
    </row>
    <row r="17">
      <c r="B17" s="4" t="n">
        <v>10</v>
      </c>
      <c r="C17" s="4" t="inlineStr">
        <is>
          <t>2026-08-28</t>
        </is>
      </c>
      <c r="D17" s="4" t="inlineStr">
        <is>
          <t>J-36505864-8</t>
        </is>
      </c>
      <c r="E17" s="5" t="inlineStr">
        <is>
          <t>Grupo Oriente Perez, C.A.</t>
        </is>
      </c>
      <c r="F17" s="4" t="inlineStr">
        <is>
          <t>Nacional</t>
        </is>
      </c>
      <c r="G17" s="4" t="inlineStr"/>
      <c r="H17" s="4" t="inlineStr"/>
      <c r="I17" s="4" t="inlineStr"/>
      <c r="J17" s="4" t="inlineStr">
        <is>
          <t>00000522</t>
        </is>
      </c>
      <c r="K17" s="4" t="inlineStr">
        <is>
          <t>00000522</t>
        </is>
      </c>
      <c r="L17" s="4" t="inlineStr"/>
      <c r="M17" s="4" t="inlineStr"/>
      <c r="N17" s="4" t="inlineStr">
        <is>
          <t>01-REG</t>
        </is>
      </c>
      <c r="O17" s="4" t="inlineStr"/>
      <c r="P17" s="6" t="n">
        <v>65000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65000</v>
      </c>
      <c r="V17" s="6" t="n">
        <v>0</v>
      </c>
      <c r="W17" s="6" t="n">
        <v>0</v>
      </c>
      <c r="X17" s="6" t="n">
        <v>0</v>
      </c>
      <c r="Y17" s="6">
        <f>ROUND(W17*0.16, 2)</f>
        <v/>
      </c>
      <c r="Z17" s="6" t="n">
        <v>0</v>
      </c>
      <c r="AA17" s="4" t="inlineStr"/>
      <c r="AB17" s="4" t="inlineStr"/>
      <c r="AC17" s="6" t="n">
        <v>0</v>
      </c>
      <c r="AD17" s="6" t="n">
        <v>0</v>
      </c>
      <c r="AE17" s="6" t="n">
        <v>0</v>
      </c>
    </row>
    <row r="18">
      <c r="E18" s="7" t="inlineStr">
        <is>
          <t>TOTAL GENERAL</t>
        </is>
      </c>
      <c r="P18" s="8">
        <f>SUM(P8:P17)</f>
        <v/>
      </c>
      <c r="R18" s="8">
        <f>SUM(R8:R17)</f>
        <v/>
      </c>
      <c r="S18" s="8">
        <f>SUM(S8:S17)</f>
        <v/>
      </c>
      <c r="T18" s="8">
        <f>SUM(T8:T17)</f>
        <v/>
      </c>
      <c r="U18" s="8">
        <f>SUM(U8:U17)</f>
        <v/>
      </c>
      <c r="V18" s="8">
        <f>SUM(V8:V17)</f>
        <v/>
      </c>
      <c r="W18" s="8">
        <f>SUM(W8:W17)</f>
        <v/>
      </c>
      <c r="X18" s="8">
        <f>SUM(X8:X17)</f>
        <v/>
      </c>
      <c r="Y18" s="8">
        <f>SUM(Y8:Y17)</f>
        <v/>
      </c>
      <c r="Z18" s="8">
        <f>SUM(Z8:Z17)</f>
        <v/>
      </c>
      <c r="AC18" s="8">
        <f>SUM(AC8:AC17)</f>
        <v/>
      </c>
      <c r="AD18" s="8">
        <f>SUM(AD8:AD17)</f>
        <v/>
      </c>
      <c r="AE18" s="8">
        <f>SUM(AE8:AE17)</f>
        <v/>
      </c>
    </row>
    <row r="21">
      <c r="D21" s="2" t="inlineStr">
        <is>
          <t>J-37151256-0</t>
        </is>
      </c>
      <c r="E21" t="inlineStr">
        <is>
          <t>Comercializadora Alfa Rodriguez, S.A.</t>
        </is>
      </c>
    </row>
    <row r="22">
      <c r="D22" s="9" t="inlineStr">
        <is>
          <t>J-34484719-4</t>
        </is>
      </c>
      <c r="E22" t="inlineStr">
        <is>
          <t>Servicios Lara Martinez, S.A.</t>
        </is>
      </c>
      <c r="F22" s="9" t="inlineStr">
        <is>
          <t>BASE IMPONIBLE</t>
        </is>
      </c>
      <c r="I22" s="9" t="inlineStr">
        <is>
          <t>CRÉDITOS FISCALES</t>
        </is>
      </c>
    </row>
    <row r="23">
      <c r="D23" s="10" t="inlineStr">
        <is>
          <t>J-56586010-1</t>
        </is>
      </c>
      <c r="E23" t="inlineStr">
        <is>
          <t>Grupo Global Perez, C.A.</t>
        </is>
      </c>
      <c r="F23" s="11">
        <f>U18</f>
        <v/>
      </c>
      <c r="I23" s="11" t="n">
        <v>0</v>
      </c>
    </row>
    <row r="24">
      <c r="D24" s="10" t="inlineStr">
        <is>
          <t>J-69512872-9</t>
        </is>
      </c>
      <c r="E24" t="inlineStr">
        <is>
          <t>Servicios Lara Lopez, C.A.</t>
        </is>
      </c>
      <c r="F24" s="11">
        <f>V18</f>
        <v/>
      </c>
      <c r="I24" s="11" t="n">
        <v>0</v>
      </c>
    </row>
    <row r="25">
      <c r="D25" s="10" t="inlineStr">
        <is>
          <t>J-74843890-6</t>
        </is>
      </c>
      <c r="E25" t="inlineStr">
        <is>
          <t>Distribuidora Centro Sanchez, S.A.</t>
        </is>
      </c>
      <c r="F25" s="11">
        <f>S18</f>
        <v/>
      </c>
      <c r="I25" s="11">
        <f>T18</f>
        <v/>
      </c>
    </row>
    <row r="26">
      <c r="D26" s="10" t="inlineStr">
        <is>
          <t>J-69411367-6</t>
        </is>
      </c>
      <c r="E26" t="inlineStr">
        <is>
          <t>Servicios Omega Ramirez, C.A.</t>
        </is>
      </c>
      <c r="F26" s="11">
        <f>W18</f>
        <v/>
      </c>
      <c r="I26" s="11">
        <f>X18</f>
        <v/>
      </c>
    </row>
    <row r="27">
      <c r="D27" s="12" t="inlineStr">
        <is>
          <t>J-60974141-8</t>
        </is>
      </c>
      <c r="E27" t="inlineStr">
        <is>
          <t>Servicios Centro Lopez, S.R.L.</t>
        </is>
      </c>
      <c r="F27" s="13">
        <f>F23+F24+F25+F26</f>
        <v/>
      </c>
      <c r="I27" s="13">
        <f>I23+I24+I25+I26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AB3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22" customWidth="1" min="3" max="3"/>
    <col width="57" customWidth="1" min="4" max="4"/>
    <col width="37" customWidth="1" min="5" max="5"/>
    <col width="30" customWidth="1" min="6" max="6"/>
    <col width="17" customWidth="1" min="7" max="7"/>
    <col width="29" customWidth="1" min="8" max="8"/>
    <col width="11" customWidth="1" min="9" max="9"/>
    <col width="20" customWidth="1" min="10" max="10"/>
    <col width="23" customWidth="1" min="11" max="11"/>
    <col width="24" customWidth="1" min="12" max="12"/>
    <col width="19" customWidth="1" min="13" max="13"/>
    <col width="25" customWidth="1" min="14" max="14"/>
    <col width="33" customWidth="1" min="15" max="15"/>
    <col width="20" customWidth="1" min="16" max="16"/>
    <col width="34" customWidth="1" min="17" max="17"/>
    <col width="30" customWidth="1" min="18" max="18"/>
    <col width="13" customWidth="1" min="19" max="19"/>
    <col width="28" customWidth="1" min="20" max="20"/>
    <col width="31" customWidth="1" min="21" max="21"/>
    <col width="27" customWidth="1" min="22" max="22"/>
    <col width="13" customWidth="1" min="23" max="23"/>
    <col width="25" customWidth="1" min="24" max="24"/>
    <col width="32" customWidth="1" min="25" max="25"/>
    <col width="24" customWidth="1" min="26" max="26"/>
    <col width="31" customWidth="1" min="27" max="27"/>
    <col width="25" customWidth="1" min="28" max="28"/>
  </cols>
  <sheetData>
    <row r="5">
      <c r="B5" s="1" t="inlineStr">
        <is>
          <t>EMPRESA:</t>
        </is>
      </c>
      <c r="E5" s="2" t="inlineStr">
        <is>
          <t>EMPRESA FICTICIA, C.A.</t>
        </is>
      </c>
    </row>
    <row r="6">
      <c r="B6" s="1" t="inlineStr">
        <is>
          <t>R.I.F.:</t>
        </is>
      </c>
      <c r="E6" s="1" t="inlineStr">
        <is>
          <t>R.I.F.: J-00000000-0</t>
        </is>
      </c>
    </row>
    <row r="7">
      <c r="B7" s="1" t="inlineStr">
        <is>
          <t>DIRECCION:</t>
        </is>
      </c>
      <c r="D7" t="inlineStr">
        <is>
          <t>CARRERA 15 CON CALLE 38</t>
        </is>
      </c>
    </row>
    <row r="8">
      <c r="B8" s="1" t="inlineStr">
        <is>
          <t>CONTRIBUYENTE ORDINARIO</t>
        </is>
      </c>
    </row>
    <row r="9">
      <c r="B9" s="1" t="inlineStr">
        <is>
          <t>Libro de Ventas (IVA) Mes de</t>
        </is>
      </c>
      <c r="E9" s="2" t="inlineStr">
        <is>
          <t>AGOSTO 2026</t>
        </is>
      </c>
    </row>
    <row r="11">
      <c r="B11" s="3" t="inlineStr">
        <is>
          <t>Oper. No.</t>
        </is>
      </c>
      <c r="C11" s="3" t="inlineStr">
        <is>
          <t>Fecha de la Factura</t>
        </is>
      </c>
      <c r="D11" s="3" t="inlineStr">
        <is>
          <t>R.I.F</t>
        </is>
      </c>
      <c r="E11" s="3" t="inlineStr">
        <is>
          <t>Nombre o Razon Social</t>
        </is>
      </c>
      <c r="F11" s="3" t="inlineStr">
        <is>
          <t>No. Declaracion Exportación</t>
        </is>
      </c>
      <c r="G11" s="3" t="inlineStr">
        <is>
          <t>Maquina Fiscal</t>
        </is>
      </c>
      <c r="H11" s="3" t="inlineStr">
        <is>
          <t>Numero Factura / Reporte Z</t>
        </is>
      </c>
      <c r="I11" s="3" t="inlineStr">
        <is>
          <t>FACTURA</t>
        </is>
      </c>
      <c r="J11" s="3" t="inlineStr">
        <is>
          <t>Numero de Control</t>
        </is>
      </c>
      <c r="K11" s="3" t="inlineStr">
        <is>
          <t>No de Nota de Debito</t>
        </is>
      </c>
      <c r="L11" s="3" t="inlineStr">
        <is>
          <t>No de Nota de Credito</t>
        </is>
      </c>
      <c r="M11" s="3" t="inlineStr">
        <is>
          <t>Tipo de transac.</t>
        </is>
      </c>
      <c r="N11" s="3" t="inlineStr">
        <is>
          <t>No de Factura Afectada</t>
        </is>
      </c>
      <c r="O11" s="3" t="inlineStr">
        <is>
          <t>Total Ventas incluyendo el IVA</t>
        </is>
      </c>
      <c r="P11" s="3" t="inlineStr">
        <is>
          <t>Ventas No sujetas</t>
        </is>
      </c>
      <c r="Q11" s="3" t="inlineStr">
        <is>
          <t>Ventas no gravadas (No Contrib)</t>
        </is>
      </c>
      <c r="R11" s="3" t="inlineStr">
        <is>
          <t>Base Imponible (No Contrib)</t>
        </is>
      </c>
      <c r="S11" s="3" t="inlineStr">
        <is>
          <t>% alicuota</t>
        </is>
      </c>
      <c r="T11" s="3" t="inlineStr">
        <is>
          <t>Impuesto IVA (No Contrib)</t>
        </is>
      </c>
      <c r="U11" s="3" t="inlineStr">
        <is>
          <t>Ventas no gravadas (Contrib)</t>
        </is>
      </c>
      <c r="V11" s="3" t="inlineStr">
        <is>
          <t>Base Imponible (Contrib)</t>
        </is>
      </c>
      <c r="W11" s="3" t="inlineStr">
        <is>
          <t>% alicuota</t>
        </is>
      </c>
      <c r="X11" s="3" t="inlineStr">
        <is>
          <t>Impuesto IVA (Contrib)</t>
        </is>
      </c>
      <c r="Y11" s="3" t="inlineStr">
        <is>
          <t>Nº Comprob. Retención 75% IVA</t>
        </is>
      </c>
      <c r="Z11" s="3" t="inlineStr">
        <is>
          <t>Fecha del Comprobante</t>
        </is>
      </c>
      <c r="AA11" s="3" t="inlineStr">
        <is>
          <t>Iva Retenido (por comprador)</t>
        </is>
      </c>
      <c r="AB11" s="3" t="inlineStr">
        <is>
          <t>Iva retenido percibido</t>
        </is>
      </c>
    </row>
    <row r="12">
      <c r="B12" s="4" t="n">
        <v>1</v>
      </c>
      <c r="C12" s="4" t="inlineStr">
        <is>
          <t>2026-08-01</t>
        </is>
      </c>
      <c r="D12" s="4" t="inlineStr">
        <is>
          <t>J-24999770-5</t>
        </is>
      </c>
      <c r="E12" s="5" t="inlineStr">
        <is>
          <t>Corporacion Nacional Sanchez, S.R.L.</t>
        </is>
      </c>
      <c r="F12" s="4" t="inlineStr"/>
      <c r="G12" s="4" t="inlineStr"/>
      <c r="H12" s="4" t="inlineStr">
        <is>
          <t>000134</t>
        </is>
      </c>
      <c r="I12" s="4" t="inlineStr">
        <is>
          <t>000134</t>
        </is>
      </c>
      <c r="J12" s="4" t="inlineStr">
        <is>
          <t>000134</t>
        </is>
      </c>
      <c r="K12" s="4" t="inlineStr"/>
      <c r="L12" s="4" t="inlineStr"/>
      <c r="M12" s="4" t="inlineStr">
        <is>
          <t>01-REG</t>
        </is>
      </c>
      <c r="N12" s="4" t="inlineStr"/>
      <c r="O12" s="6" t="n">
        <v>89532.74000000001</v>
      </c>
      <c r="P12" s="6" t="n">
        <v>0</v>
      </c>
      <c r="Q12" s="6" t="n">
        <v>0</v>
      </c>
      <c r="R12" s="6" t="n">
        <v>0</v>
      </c>
      <c r="S12" s="4" t="n">
        <v>16</v>
      </c>
      <c r="T12" s="6" t="n">
        <v>0</v>
      </c>
      <c r="U12" s="6" t="n">
        <v>0</v>
      </c>
      <c r="V12" s="6" t="n">
        <v>77183.39999999999</v>
      </c>
      <c r="W12" s="4" t="n">
        <v>16</v>
      </c>
      <c r="X12" s="6" t="n">
        <v>12349.34</v>
      </c>
      <c r="Y12" s="4" t="inlineStr">
        <is>
          <t>202608000101</t>
        </is>
      </c>
      <c r="Z12" s="4" t="inlineStr">
        <is>
          <t>2026-08-01</t>
        </is>
      </c>
      <c r="AA12" s="6" t="n">
        <v>9262.01</v>
      </c>
      <c r="AB12" s="6" t="n">
        <v>3087.33</v>
      </c>
    </row>
    <row r="13">
      <c r="B13" s="4" t="n">
        <v>2</v>
      </c>
      <c r="C13" s="4" t="inlineStr">
        <is>
          <t>2026-08-01</t>
        </is>
      </c>
      <c r="D13" s="4" t="inlineStr">
        <is>
          <t>V-26920712</t>
        </is>
      </c>
      <c r="E13" s="5" t="inlineStr">
        <is>
          <t>Sofia Rodriguez (Persona Natural)</t>
        </is>
      </c>
      <c r="F13" s="4" t="inlineStr"/>
      <c r="G13" s="4" t="inlineStr"/>
      <c r="H13" s="4" t="inlineStr">
        <is>
          <t>000135</t>
        </is>
      </c>
      <c r="I13" s="4" t="inlineStr">
        <is>
          <t>000135</t>
        </is>
      </c>
      <c r="J13" s="4" t="inlineStr">
        <is>
          <t>000135</t>
        </is>
      </c>
      <c r="K13" s="4" t="inlineStr"/>
      <c r="L13" s="4" t="inlineStr"/>
      <c r="M13" s="4" t="inlineStr">
        <is>
          <t>01-REG</t>
        </is>
      </c>
      <c r="N13" s="4" t="inlineStr"/>
      <c r="O13" s="6" t="n">
        <v>119378.24</v>
      </c>
      <c r="P13" s="6" t="n">
        <v>0</v>
      </c>
      <c r="Q13" s="6" t="n">
        <v>0</v>
      </c>
      <c r="R13" s="6" t="n">
        <v>102912.28</v>
      </c>
      <c r="S13" s="4" t="n">
        <v>16</v>
      </c>
      <c r="T13" s="6" t="n">
        <v>16465.96</v>
      </c>
      <c r="U13" s="6" t="n">
        <v>0</v>
      </c>
      <c r="V13" s="6" t="n">
        <v>0</v>
      </c>
      <c r="W13" s="4" t="n">
        <v>16</v>
      </c>
      <c r="X13" s="6" t="n">
        <v>0</v>
      </c>
      <c r="Y13" s="4" t="inlineStr"/>
      <c r="Z13" s="4" t="inlineStr"/>
      <c r="AA13" s="6" t="n">
        <v>0</v>
      </c>
      <c r="AB13" s="6" t="n">
        <v>0</v>
      </c>
    </row>
    <row r="14">
      <c r="B14" s="4" t="n">
        <v>3</v>
      </c>
      <c r="C14" s="4" t="inlineStr">
        <is>
          <t>2026-08-02</t>
        </is>
      </c>
      <c r="D14" s="4" t="inlineStr">
        <is>
          <t>J-69532017-9</t>
        </is>
      </c>
      <c r="E14" s="5" t="inlineStr">
        <is>
          <t>Grupo Omega Lopez, C.A.</t>
        </is>
      </c>
      <c r="F14" s="4" t="inlineStr"/>
      <c r="G14" s="4" t="inlineStr"/>
      <c r="H14" s="4" t="inlineStr">
        <is>
          <t>000136</t>
        </is>
      </c>
      <c r="I14" s="4" t="inlineStr">
        <is>
          <t>000136</t>
        </is>
      </c>
      <c r="J14" s="4" t="inlineStr">
        <is>
          <t>000136</t>
        </is>
      </c>
      <c r="K14" s="4" t="inlineStr"/>
      <c r="L14" s="4" t="inlineStr"/>
      <c r="M14" s="4" t="inlineStr">
        <is>
          <t>01-REG</t>
        </is>
      </c>
      <c r="N14" s="4" t="inlineStr"/>
      <c r="O14" s="6" t="n">
        <v>132690.7</v>
      </c>
      <c r="P14" s="6" t="n">
        <v>0</v>
      </c>
      <c r="Q14" s="6" t="n">
        <v>0</v>
      </c>
      <c r="R14" s="6" t="n">
        <v>0</v>
      </c>
      <c r="S14" s="4" t="n">
        <v>16</v>
      </c>
      <c r="T14" s="6" t="n">
        <v>0</v>
      </c>
      <c r="U14" s="6" t="n">
        <v>0</v>
      </c>
      <c r="V14" s="6" t="n">
        <v>114388.53</v>
      </c>
      <c r="W14" s="4" t="n">
        <v>16</v>
      </c>
      <c r="X14" s="6" t="n">
        <v>18302.16</v>
      </c>
      <c r="Y14" s="4" t="inlineStr">
        <is>
          <t>202608000102</t>
        </is>
      </c>
      <c r="Z14" s="4" t="inlineStr">
        <is>
          <t>2026-08-02</t>
        </is>
      </c>
      <c r="AA14" s="6" t="n">
        <v>13726.62</v>
      </c>
      <c r="AB14" s="6" t="n">
        <v>4575.54</v>
      </c>
    </row>
    <row r="15">
      <c r="B15" s="4" t="n">
        <v>4</v>
      </c>
      <c r="C15" s="4" t="inlineStr">
        <is>
          <t>2026-08-08</t>
        </is>
      </c>
      <c r="D15" s="4" t="inlineStr">
        <is>
          <t>J-22320599-3</t>
        </is>
      </c>
      <c r="E15" s="5" t="inlineStr">
        <is>
          <t>Distribuidora Beta Garcia, C.A.</t>
        </is>
      </c>
      <c r="F15" s="4" t="inlineStr"/>
      <c r="G15" s="4" t="inlineStr"/>
      <c r="H15" s="4" t="inlineStr">
        <is>
          <t>000137</t>
        </is>
      </c>
      <c r="I15" s="4" t="inlineStr">
        <is>
          <t>000137</t>
        </is>
      </c>
      <c r="J15" s="4" t="inlineStr">
        <is>
          <t>000137</t>
        </is>
      </c>
      <c r="K15" s="4" t="inlineStr"/>
      <c r="L15" s="4" t="inlineStr"/>
      <c r="M15" s="4" t="inlineStr">
        <is>
          <t>01-REG</t>
        </is>
      </c>
      <c r="N15" s="4" t="inlineStr"/>
      <c r="O15" s="6" t="n">
        <v>30411.39</v>
      </c>
      <c r="P15" s="6" t="n">
        <v>0</v>
      </c>
      <c r="Q15" s="6" t="n">
        <v>0</v>
      </c>
      <c r="R15" s="6" t="n">
        <v>0</v>
      </c>
      <c r="S15" s="4" t="n">
        <v>16</v>
      </c>
      <c r="T15" s="6" t="n">
        <v>0</v>
      </c>
      <c r="U15" s="6" t="n">
        <v>0</v>
      </c>
      <c r="V15" s="6" t="n">
        <v>26216.72</v>
      </c>
      <c r="W15" s="4" t="n">
        <v>16</v>
      </c>
      <c r="X15" s="6" t="n">
        <v>4194.68</v>
      </c>
      <c r="Y15" s="4" t="inlineStr">
        <is>
          <t>202608000103</t>
        </is>
      </c>
      <c r="Z15" s="4" t="inlineStr">
        <is>
          <t>2026-08-08</t>
        </is>
      </c>
      <c r="AA15" s="6" t="n">
        <v>3146.01</v>
      </c>
      <c r="AB15" s="6" t="n">
        <v>1048.67</v>
      </c>
    </row>
    <row r="16">
      <c r="B16" s="4" t="n">
        <v>5</v>
      </c>
      <c r="C16" s="4" t="inlineStr">
        <is>
          <t>2026-08-13</t>
        </is>
      </c>
      <c r="D16" s="4" t="inlineStr">
        <is>
          <t>J-99300189-1</t>
        </is>
      </c>
      <c r="E16" s="5" t="inlineStr">
        <is>
          <t>Comercializadora Sur Gomez, S.R.L.</t>
        </is>
      </c>
      <c r="F16" s="4" t="inlineStr"/>
      <c r="G16" s="4" t="inlineStr"/>
      <c r="H16" s="4" t="inlineStr">
        <is>
          <t>000138</t>
        </is>
      </c>
      <c r="I16" s="4" t="inlineStr">
        <is>
          <t>000138</t>
        </is>
      </c>
      <c r="J16" s="4" t="inlineStr">
        <is>
          <t>000138</t>
        </is>
      </c>
      <c r="K16" s="4" t="inlineStr"/>
      <c r="L16" s="4" t="inlineStr"/>
      <c r="M16" s="4" t="inlineStr">
        <is>
          <t>01-REG</t>
        </is>
      </c>
      <c r="N16" s="4" t="inlineStr"/>
      <c r="O16" s="6" t="n">
        <v>26082.43</v>
      </c>
      <c r="P16" s="6" t="n">
        <v>0</v>
      </c>
      <c r="Q16" s="6" t="n">
        <v>0</v>
      </c>
      <c r="R16" s="6" t="n">
        <v>0</v>
      </c>
      <c r="S16" s="4" t="n">
        <v>16</v>
      </c>
      <c r="T16" s="6" t="n">
        <v>0</v>
      </c>
      <c r="U16" s="6" t="n">
        <v>0</v>
      </c>
      <c r="V16" s="6" t="n">
        <v>22484.85</v>
      </c>
      <c r="W16" s="4" t="n">
        <v>16</v>
      </c>
      <c r="X16" s="6" t="n">
        <v>3597.58</v>
      </c>
      <c r="Y16" s="4" t="inlineStr">
        <is>
          <t>202608000104</t>
        </is>
      </c>
      <c r="Z16" s="4" t="inlineStr">
        <is>
          <t>2026-08-13</t>
        </is>
      </c>
      <c r="AA16" s="6" t="n">
        <v>2698.18</v>
      </c>
      <c r="AB16" s="6" t="n">
        <v>899.39</v>
      </c>
    </row>
    <row r="17">
      <c r="B17" s="4" t="n">
        <v>6</v>
      </c>
      <c r="C17" s="4" t="inlineStr">
        <is>
          <t>2026-08-16</t>
        </is>
      </c>
      <c r="D17" s="4" t="inlineStr"/>
      <c r="E17" s="5" t="inlineStr">
        <is>
          <t>*** FACTURA ANULADA ***</t>
        </is>
      </c>
      <c r="F17" s="4" t="inlineStr"/>
      <c r="G17" s="4" t="inlineStr"/>
      <c r="H17" s="4" t="inlineStr">
        <is>
          <t>000139</t>
        </is>
      </c>
      <c r="I17" s="4" t="inlineStr">
        <is>
          <t>000139</t>
        </is>
      </c>
      <c r="J17" s="4" t="inlineStr">
        <is>
          <t>000139</t>
        </is>
      </c>
      <c r="K17" s="4" t="inlineStr"/>
      <c r="L17" s="4" t="inlineStr"/>
      <c r="M17" s="4" t="inlineStr">
        <is>
          <t>03-ANU</t>
        </is>
      </c>
      <c r="N17" s="4" t="inlineStr"/>
      <c r="O17" s="6" t="n">
        <v>0</v>
      </c>
      <c r="P17" s="6" t="n">
        <v>0</v>
      </c>
      <c r="Q17" s="6" t="n">
        <v>0</v>
      </c>
      <c r="R17" s="6" t="n">
        <v>0</v>
      </c>
      <c r="S17" s="4" t="n">
        <v>16</v>
      </c>
      <c r="T17" s="6" t="n">
        <v>0</v>
      </c>
      <c r="U17" s="6" t="n">
        <v>0</v>
      </c>
      <c r="V17" s="6" t="n">
        <v>0</v>
      </c>
      <c r="W17" s="4" t="n">
        <v>16</v>
      </c>
      <c r="X17" s="6" t="n">
        <v>0</v>
      </c>
      <c r="Y17" s="4" t="inlineStr"/>
      <c r="Z17" s="4" t="inlineStr"/>
      <c r="AA17" s="6" t="n">
        <v>0</v>
      </c>
      <c r="AB17" s="6" t="n">
        <v>0</v>
      </c>
    </row>
    <row r="18">
      <c r="B18" s="4" t="n">
        <v>7</v>
      </c>
      <c r="C18" s="4" t="inlineStr">
        <is>
          <t>2026-08-16</t>
        </is>
      </c>
      <c r="D18" s="4" t="inlineStr">
        <is>
          <t>J-69532017-9</t>
        </is>
      </c>
      <c r="E18" s="5" t="inlineStr">
        <is>
          <t>Grupo Omega Lopez, C.A.</t>
        </is>
      </c>
      <c r="F18" s="4" t="inlineStr"/>
      <c r="G18" s="4" t="inlineStr"/>
      <c r="H18" s="4" t="inlineStr">
        <is>
          <t>000140</t>
        </is>
      </c>
      <c r="I18" s="4" t="inlineStr">
        <is>
          <t>000140</t>
        </is>
      </c>
      <c r="J18" s="4" t="inlineStr">
        <is>
          <t>000140</t>
        </is>
      </c>
      <c r="K18" s="4" t="inlineStr"/>
      <c r="L18" s="4" t="inlineStr"/>
      <c r="M18" s="4" t="inlineStr">
        <is>
          <t>01-REG</t>
        </is>
      </c>
      <c r="N18" s="4" t="inlineStr"/>
      <c r="O18" s="6" t="n">
        <v>137441.04</v>
      </c>
      <c r="P18" s="6" t="n">
        <v>0</v>
      </c>
      <c r="Q18" s="6" t="n">
        <v>0</v>
      </c>
      <c r="R18" s="6" t="n">
        <v>118483.66</v>
      </c>
      <c r="S18" s="4" t="n">
        <v>16</v>
      </c>
      <c r="T18" s="6" t="n">
        <v>18957.39</v>
      </c>
      <c r="U18" s="6" t="n">
        <v>0</v>
      </c>
      <c r="V18" s="6" t="n">
        <v>0</v>
      </c>
      <c r="W18" s="4" t="n">
        <v>16</v>
      </c>
      <c r="X18" s="6" t="n">
        <v>0</v>
      </c>
      <c r="Y18" s="4" t="inlineStr"/>
      <c r="Z18" s="4" t="inlineStr"/>
      <c r="AA18" s="6" t="n">
        <v>0</v>
      </c>
      <c r="AB18" s="6" t="n">
        <v>0</v>
      </c>
    </row>
    <row r="19">
      <c r="B19" s="4" t="n">
        <v>8</v>
      </c>
      <c r="C19" s="4" t="inlineStr">
        <is>
          <t>2026-08-18</t>
        </is>
      </c>
      <c r="D19" s="4" t="inlineStr">
        <is>
          <t>V-26920712</t>
        </is>
      </c>
      <c r="E19" s="5" t="inlineStr">
        <is>
          <t>Sofia Rodriguez (Persona Natural)</t>
        </is>
      </c>
      <c r="F19" s="4" t="inlineStr"/>
      <c r="G19" s="4" t="inlineStr"/>
      <c r="H19" s="4" t="inlineStr">
        <is>
          <t>000141</t>
        </is>
      </c>
      <c r="I19" s="4" t="inlineStr">
        <is>
          <t>000141</t>
        </is>
      </c>
      <c r="J19" s="4" t="inlineStr">
        <is>
          <t>000141</t>
        </is>
      </c>
      <c r="K19" s="4" t="inlineStr"/>
      <c r="L19" s="4" t="inlineStr"/>
      <c r="M19" s="4" t="inlineStr">
        <is>
          <t>01-REG</t>
        </is>
      </c>
      <c r="N19" s="4" t="inlineStr"/>
      <c r="O19" s="6" t="n">
        <v>136530.95</v>
      </c>
      <c r="P19" s="6" t="n">
        <v>0</v>
      </c>
      <c r="Q19" s="6" t="n">
        <v>0</v>
      </c>
      <c r="R19" s="6" t="n">
        <v>117699.09</v>
      </c>
      <c r="S19" s="4" t="n">
        <v>16</v>
      </c>
      <c r="T19" s="6" t="n">
        <v>18831.85</v>
      </c>
      <c r="U19" s="6" t="n">
        <v>0</v>
      </c>
      <c r="V19" s="6" t="n">
        <v>0</v>
      </c>
      <c r="W19" s="4" t="n">
        <v>16</v>
      </c>
      <c r="X19" s="6" t="n">
        <v>0</v>
      </c>
      <c r="Y19" s="4" t="inlineStr"/>
      <c r="Z19" s="4" t="inlineStr"/>
      <c r="AA19" s="6" t="n">
        <v>0</v>
      </c>
      <c r="AB19" s="6" t="n">
        <v>0</v>
      </c>
    </row>
    <row r="20">
      <c r="B20" s="4" t="n">
        <v>9</v>
      </c>
      <c r="C20" s="4" t="inlineStr">
        <is>
          <t>2026-08-23</t>
        </is>
      </c>
      <c r="D20" s="4" t="inlineStr">
        <is>
          <t>J-87440536-9</t>
        </is>
      </c>
      <c r="E20" s="5" t="inlineStr">
        <is>
          <t>Comercializadora Global Gonzalez, C.A.</t>
        </is>
      </c>
      <c r="F20" s="4" t="inlineStr"/>
      <c r="G20" s="4" t="inlineStr"/>
      <c r="H20" s="4" t="inlineStr">
        <is>
          <t>000142</t>
        </is>
      </c>
      <c r="I20" s="4" t="inlineStr">
        <is>
          <t>000142</t>
        </is>
      </c>
      <c r="J20" s="4" t="inlineStr">
        <is>
          <t>000142</t>
        </is>
      </c>
      <c r="K20" s="4" t="inlineStr"/>
      <c r="L20" s="4" t="inlineStr"/>
      <c r="M20" s="4" t="inlineStr">
        <is>
          <t>01-REG</t>
        </is>
      </c>
      <c r="N20" s="4" t="inlineStr"/>
      <c r="O20" s="6" t="n">
        <v>9221.879999999999</v>
      </c>
      <c r="P20" s="6" t="n">
        <v>0</v>
      </c>
      <c r="Q20" s="6" t="n">
        <v>0</v>
      </c>
      <c r="R20" s="6" t="n">
        <v>0</v>
      </c>
      <c r="S20" s="4" t="n">
        <v>16</v>
      </c>
      <c r="T20" s="6" t="n">
        <v>0</v>
      </c>
      <c r="U20" s="6" t="n">
        <v>0</v>
      </c>
      <c r="V20" s="6" t="n">
        <v>7949.9</v>
      </c>
      <c r="W20" s="4" t="n">
        <v>16</v>
      </c>
      <c r="X20" s="6" t="n">
        <v>1271.98</v>
      </c>
      <c r="Y20" s="4" t="inlineStr">
        <is>
          <t>202608000105</t>
        </is>
      </c>
      <c r="Z20" s="4" t="inlineStr">
        <is>
          <t>2026-08-23</t>
        </is>
      </c>
      <c r="AA20" s="6" t="n">
        <v>953.99</v>
      </c>
      <c r="AB20" s="6" t="n">
        <v>317.99</v>
      </c>
    </row>
    <row r="21">
      <c r="B21" s="4" t="n">
        <v>10</v>
      </c>
      <c r="C21" s="4" t="inlineStr">
        <is>
          <t>2026-08-27</t>
        </is>
      </c>
      <c r="D21" s="4" t="inlineStr">
        <is>
          <t>J-35762696-6</t>
        </is>
      </c>
      <c r="E21" s="5" t="inlineStr">
        <is>
          <t>Servicios Sur Perez, S.A.</t>
        </is>
      </c>
      <c r="F21" s="4" t="inlineStr"/>
      <c r="G21" s="4" t="inlineStr"/>
      <c r="H21" s="4" t="inlineStr">
        <is>
          <t>000143</t>
        </is>
      </c>
      <c r="I21" s="4" t="inlineStr">
        <is>
          <t>000143</t>
        </is>
      </c>
      <c r="J21" s="4" t="inlineStr">
        <is>
          <t>000143</t>
        </is>
      </c>
      <c r="K21" s="4" t="inlineStr"/>
      <c r="L21" s="4" t="inlineStr"/>
      <c r="M21" s="4" t="inlineStr">
        <is>
          <t>01-REG</t>
        </is>
      </c>
      <c r="N21" s="4" t="inlineStr"/>
      <c r="O21" s="6" t="n">
        <v>98500</v>
      </c>
      <c r="P21" s="6" t="n">
        <v>0</v>
      </c>
      <c r="Q21" s="6" t="n">
        <v>0</v>
      </c>
      <c r="R21" s="6" t="n">
        <v>0</v>
      </c>
      <c r="S21" s="4" t="n">
        <v>16</v>
      </c>
      <c r="T21" s="6" t="n">
        <v>0</v>
      </c>
      <c r="U21" s="6" t="n">
        <v>12500</v>
      </c>
      <c r="V21" s="6" t="n">
        <v>74137.92999999999</v>
      </c>
      <c r="W21" s="4" t="n">
        <v>16</v>
      </c>
      <c r="X21" s="6" t="n">
        <v>11862.07</v>
      </c>
      <c r="Y21" s="4" t="inlineStr">
        <is>
          <t>202608000106</t>
        </is>
      </c>
      <c r="Z21" s="4" t="inlineStr">
        <is>
          <t>2026-08-27</t>
        </is>
      </c>
      <c r="AA21" s="6" t="n">
        <v>8896.549999999999</v>
      </c>
      <c r="AB21" s="6" t="n">
        <v>2965.52</v>
      </c>
    </row>
    <row r="22">
      <c r="E22" s="7" t="inlineStr">
        <is>
          <t>TOTALES</t>
        </is>
      </c>
      <c r="O22" s="8">
        <f>SUM(O12:O21)</f>
        <v/>
      </c>
      <c r="P22" s="8">
        <f>SUM(P12:P21)</f>
        <v/>
      </c>
      <c r="Q22" s="8">
        <f>SUM(Q12:Q21)</f>
        <v/>
      </c>
      <c r="R22" s="8">
        <f>SUM(R12:R21)</f>
        <v/>
      </c>
      <c r="T22" s="8">
        <f>SUM(T12:T21)</f>
        <v/>
      </c>
      <c r="U22" s="8">
        <f>SUM(U12:U21)</f>
        <v/>
      </c>
      <c r="V22" s="8">
        <f>SUM(V12:V21)</f>
        <v/>
      </c>
      <c r="X22" s="8">
        <f>SUM(X12:X21)</f>
        <v/>
      </c>
      <c r="AA22" s="8">
        <f>SUM(AA12:AA21)</f>
        <v/>
      </c>
      <c r="AB22" s="8">
        <f>SUM(AB12:AB21)</f>
        <v/>
      </c>
    </row>
    <row r="25">
      <c r="D25" s="2" t="inlineStr">
        <is>
          <t>J-10710906-1</t>
        </is>
      </c>
      <c r="E25" t="inlineStr">
        <is>
          <t>Servicios Alfa Garcia, C.A.</t>
        </is>
      </c>
    </row>
    <row r="26">
      <c r="D26" s="9" t="inlineStr">
        <is>
          <t>J-34484719-4</t>
        </is>
      </c>
      <c r="E26" t="inlineStr">
        <is>
          <t>Servicios Lara Martinez, S.A.</t>
        </is>
      </c>
      <c r="F26" s="9" t="inlineStr">
        <is>
          <t>CÓDIGO</t>
        </is>
      </c>
      <c r="H26" s="9" t="inlineStr">
        <is>
          <t>BASE IMPONIBLE</t>
        </is>
      </c>
      <c r="K26" s="9" t="inlineStr">
        <is>
          <t>DÉBITOS FISCALES</t>
        </is>
      </c>
    </row>
    <row r="27">
      <c r="D27" s="10" t="inlineStr">
        <is>
          <t>V-17924660</t>
        </is>
      </c>
      <c r="E27" t="inlineStr">
        <is>
          <t>Laura Gonzalez (Persona Natural)</t>
        </is>
      </c>
      <c r="F27" s="14" t="inlineStr">
        <is>
          <t>40</t>
        </is>
      </c>
      <c r="H27" s="11">
        <f>Q22+U22</f>
        <v/>
      </c>
      <c r="K27" s="11" t="n">
        <v>0</v>
      </c>
    </row>
    <row r="28">
      <c r="D28" s="10" t="inlineStr">
        <is>
          <t>V-29275264</t>
        </is>
      </c>
      <c r="E28" t="inlineStr">
        <is>
          <t>Sofia Garcia (Persona Natural)</t>
        </is>
      </c>
      <c r="F28" s="14" t="inlineStr">
        <is>
          <t>40</t>
        </is>
      </c>
      <c r="H28" s="11">
        <f>P22</f>
        <v/>
      </c>
      <c r="K28" s="11" t="n">
        <v>0</v>
      </c>
    </row>
    <row r="29">
      <c r="D29" s="10" t="inlineStr">
        <is>
          <t>V-27562928</t>
        </is>
      </c>
      <c r="E29" t="inlineStr">
        <is>
          <t>Carlos Ramirez (Persona Natural)</t>
        </is>
      </c>
      <c r="F29" s="14" t="inlineStr">
        <is>
          <t>41</t>
        </is>
      </c>
      <c r="H29" s="11" t="n">
        <v>0</v>
      </c>
      <c r="K29" s="11" t="n">
        <v>0</v>
      </c>
    </row>
    <row r="30">
      <c r="D30" s="10" t="inlineStr">
        <is>
          <t>V-25620802</t>
        </is>
      </c>
      <c r="E30" t="inlineStr">
        <is>
          <t>Juan Sanchez (Persona Natural)</t>
        </is>
      </c>
      <c r="F30" s="14" t="inlineStr">
        <is>
          <t>42</t>
        </is>
      </c>
      <c r="H30" s="11">
        <f>R22+V22</f>
        <v/>
      </c>
      <c r="K30" s="11">
        <f>T22+X22</f>
        <v/>
      </c>
    </row>
    <row r="31">
      <c r="D31" s="12" t="inlineStr">
        <is>
          <t>J-81815350-0</t>
        </is>
      </c>
      <c r="E31" t="inlineStr">
        <is>
          <t>Servicios Beta Martinez, S.A.</t>
        </is>
      </c>
      <c r="F31" s="14" t="inlineStr">
        <is>
          <t>46</t>
        </is>
      </c>
      <c r="H31" s="13">
        <f>H27+H28+H29+H30</f>
        <v/>
      </c>
      <c r="K31" s="13">
        <f>K27+K28+K29+K30</f>
        <v/>
      </c>
    </row>
    <row r="32">
      <c r="D32" s="10" t="inlineStr">
        <is>
          <t>J-21964592-7</t>
        </is>
      </c>
      <c r="E32" t="inlineStr">
        <is>
          <t>Distribuidora Alfa Martinez, S.A.</t>
        </is>
      </c>
      <c r="F32" s="14" t="inlineStr">
        <is>
          <t>48</t>
        </is>
      </c>
      <c r="H32" s="11" t="n">
        <v>0</v>
      </c>
      <c r="K32" s="11" t="n">
        <v>0</v>
      </c>
    </row>
    <row r="33">
      <c r="D33" s="12" t="inlineStr">
        <is>
          <t>J-91315590-0</t>
        </is>
      </c>
      <c r="E33" t="inlineStr">
        <is>
          <t>Corporacion Beta Perez, S.R.L.</t>
        </is>
      </c>
      <c r="F33" s="14" t="inlineStr">
        <is>
          <t>49</t>
        </is>
      </c>
      <c r="H33" s="13">
        <f>H31</f>
        <v/>
      </c>
      <c r="K33" s="13">
        <f>K31+K32</f>
        <v/>
      </c>
    </row>
    <row r="34">
      <c r="D34" s="10" t="inlineStr">
        <is>
          <t>J-43238457-1</t>
        </is>
      </c>
      <c r="E34" t="inlineStr">
        <is>
          <t>Corporacion Omega Gomez, S.A.</t>
        </is>
      </c>
      <c r="F34" s="14" t="inlineStr">
        <is>
          <t>66</t>
        </is>
      </c>
      <c r="K34" s="11">
        <f>AA22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59" customWidth="1" min="2" max="2"/>
    <col width="14" customWidth="1" min="3" max="3"/>
    <col width="17" customWidth="1" min="4" max="4"/>
    <col width="18" customWidth="1" min="5" max="5"/>
    <col width="27" customWidth="1" min="6" max="6"/>
  </cols>
  <sheetData>
    <row r="1">
      <c r="A1" s="2" t="inlineStr">
        <is>
          <t>FORMA IVA 99030</t>
        </is>
      </c>
    </row>
    <row r="2">
      <c r="A2" s="2" t="inlineStr">
        <is>
          <t>DECLARACION Y PAGO DEL IMPUESTO AL VALOR AGREGADO</t>
        </is>
      </c>
    </row>
    <row r="3">
      <c r="A3" s="2" t="inlineStr">
        <is>
          <t>PLANILLA Nº 20 - SENIAT</t>
        </is>
      </c>
    </row>
    <row r="4">
      <c r="A4" s="2" t="inlineStr">
        <is>
          <t>RIF DE LA EMPRESA: J-00000000-0</t>
        </is>
      </c>
    </row>
    <row r="5">
      <c r="A5" s="2" t="inlineStr">
        <is>
          <t>MES A DECLARAR: MES DE AGOSTO 2026</t>
        </is>
      </c>
    </row>
    <row r="7">
      <c r="A7" s="15" t="inlineStr">
        <is>
          <t>Ítem</t>
        </is>
      </c>
      <c r="B7" s="15" t="inlineStr">
        <is>
          <t>Concepto / Descripción</t>
        </is>
      </c>
      <c r="C7" s="15" t="inlineStr">
        <is>
          <t>Código Base</t>
        </is>
      </c>
      <c r="D7" s="15" t="inlineStr">
        <is>
          <t>BASE IMPONIBLE</t>
        </is>
      </c>
      <c r="E7" s="15" t="inlineStr">
        <is>
          <t>Código Impuesto</t>
        </is>
      </c>
      <c r="F7" s="15" t="inlineStr">
        <is>
          <t>DÉBITO / CRÉDITO FISCAL</t>
        </is>
      </c>
    </row>
    <row r="8">
      <c r="A8" s="16" t="inlineStr">
        <is>
          <t>DEBITOS FISCALES (VENTAS)</t>
        </is>
      </c>
    </row>
    <row r="9">
      <c r="A9" s="14" t="n">
        <v>1</v>
      </c>
      <c r="B9" s="10" t="inlineStr">
        <is>
          <t>Ventas internas no gravadas</t>
        </is>
      </c>
      <c r="C9" s="14" t="n">
        <v>40</v>
      </c>
      <c r="D9" s="11">
        <f>VENTAS!H27</f>
        <v/>
      </c>
    </row>
    <row r="10">
      <c r="A10" s="14" t="n">
        <v>2</v>
      </c>
      <c r="B10" s="10" t="inlineStr">
        <is>
          <t>Ventas de exportación</t>
        </is>
      </c>
      <c r="C10" s="14" t="n">
        <v>41</v>
      </c>
      <c r="D10" s="11" t="n">
        <v>0</v>
      </c>
    </row>
    <row r="11">
      <c r="A11" s="14" t="n">
        <v>3</v>
      </c>
      <c r="B11" s="10" t="inlineStr">
        <is>
          <t>Ventas internas gravadas por alícuota general 16%</t>
        </is>
      </c>
      <c r="C11" s="14" t="n">
        <v>42</v>
      </c>
      <c r="D11" s="11">
        <f>VENTAS!H30</f>
        <v/>
      </c>
      <c r="E11" s="14" t="n">
        <v>43</v>
      </c>
      <c r="F11" s="11">
        <f>VENTAS!K30</f>
        <v/>
      </c>
    </row>
    <row r="12">
      <c r="A12" s="14" t="n">
        <v>6</v>
      </c>
      <c r="B12" s="12" t="inlineStr">
        <is>
          <t>Total ventas y débitos fiscales para efectos de determinación</t>
        </is>
      </c>
      <c r="C12" s="14" t="n">
        <v>46</v>
      </c>
      <c r="D12" s="13">
        <f>D9+D10+D11</f>
        <v/>
      </c>
      <c r="E12" s="14" t="n">
        <v>47</v>
      </c>
      <c r="F12" s="13">
        <f>F11</f>
        <v/>
      </c>
    </row>
    <row r="13">
      <c r="A13" s="14" t="n">
        <v>7</v>
      </c>
      <c r="B13" s="10" t="inlineStr">
        <is>
          <t>Ajuste a los débitos fiscales de períodos anteriores</t>
        </is>
      </c>
      <c r="E13" s="14" t="n">
        <v>48</v>
      </c>
      <c r="F13" s="11" t="n">
        <v>0</v>
      </c>
    </row>
    <row r="14">
      <c r="A14" s="14" t="n">
        <v>9</v>
      </c>
      <c r="B14" s="12" t="inlineStr">
        <is>
          <t>Total débitos fiscales</t>
        </is>
      </c>
      <c r="E14" s="14" t="n">
        <v>49</v>
      </c>
      <c r="F14" s="13">
        <f>F12+F13</f>
        <v/>
      </c>
    </row>
    <row r="15">
      <c r="A15" s="16" t="inlineStr">
        <is>
          <t>CREDITOS FISCALES (COMPRAS)</t>
        </is>
      </c>
    </row>
    <row r="16">
      <c r="A16" s="14" t="n">
        <v>10</v>
      </c>
      <c r="B16" s="10" t="inlineStr">
        <is>
          <t>Compras no gravadas y/o sin derecho a crédito fiscal</t>
        </is>
      </c>
      <c r="C16" s="14" t="n">
        <v>30</v>
      </c>
      <c r="D16" s="11">
        <f>COMPRAS!F23</f>
        <v/>
      </c>
    </row>
    <row r="17">
      <c r="A17" s="14" t="n">
        <v>11</v>
      </c>
      <c r="B17" s="10" t="inlineStr">
        <is>
          <t>Importación gravadas por alícuota general</t>
        </is>
      </c>
      <c r="C17" s="14" t="n">
        <v>31</v>
      </c>
      <c r="D17" s="11">
        <f>COMPRAS!F25</f>
        <v/>
      </c>
      <c r="E17" s="14" t="n">
        <v>32</v>
      </c>
      <c r="F17" s="11">
        <f>COMPRAS!I25</f>
        <v/>
      </c>
    </row>
    <row r="18">
      <c r="A18" s="14" t="n">
        <v>14</v>
      </c>
      <c r="B18" s="10" t="inlineStr">
        <is>
          <t>Compras internas gravadas solo por alícuota general 16%</t>
        </is>
      </c>
      <c r="C18" s="14" t="n">
        <v>33</v>
      </c>
      <c r="D18" s="11">
        <f>COMPRAS!F26</f>
        <v/>
      </c>
      <c r="E18" s="14" t="n">
        <v>34</v>
      </c>
      <c r="F18" s="11">
        <f>COMPRAS!I26</f>
        <v/>
      </c>
    </row>
    <row r="19">
      <c r="A19" s="14" t="n">
        <v>17</v>
      </c>
      <c r="B19" s="12" t="inlineStr">
        <is>
          <t>Total compras y créditos fiscales del Período</t>
        </is>
      </c>
      <c r="C19" s="14" t="n">
        <v>35</v>
      </c>
      <c r="D19" s="13">
        <f>D16+D17+D18</f>
        <v/>
      </c>
      <c r="E19" s="14" t="n">
        <v>36</v>
      </c>
      <c r="F19" s="13">
        <f>F17+F18</f>
        <v/>
      </c>
    </row>
    <row r="20">
      <c r="A20" s="14" t="n">
        <v>18</v>
      </c>
      <c r="B20" s="10" t="inlineStr">
        <is>
          <t>Créditos fiscales deducibles</t>
        </is>
      </c>
      <c r="E20" s="14" t="n">
        <v>70</v>
      </c>
      <c r="F20" s="11">
        <f>F19</f>
        <v/>
      </c>
    </row>
    <row r="21">
      <c r="A21" s="14" t="n">
        <v>20</v>
      </c>
      <c r="B21" s="12" t="inlineStr">
        <is>
          <t>Total créditos fiscales deducibles</t>
        </is>
      </c>
      <c r="E21" s="14" t="n">
        <v>71</v>
      </c>
      <c r="F21" s="13">
        <f>F20</f>
        <v/>
      </c>
    </row>
    <row r="22">
      <c r="A22" s="14" t="n">
        <v>21</v>
      </c>
      <c r="B22" s="10" t="inlineStr">
        <is>
          <t>Excedente créditos fiscales del mes anterior</t>
        </is>
      </c>
      <c r="E22" s="14" t="n">
        <v>20</v>
      </c>
      <c r="F22" s="11" t="n">
        <v>125000</v>
      </c>
    </row>
    <row r="23">
      <c r="A23" s="14" t="n">
        <v>26</v>
      </c>
      <c r="B23" s="12" t="inlineStr">
        <is>
          <t>Total Créditos Fiscales</t>
        </is>
      </c>
      <c r="E23" s="14" t="n">
        <v>39</v>
      </c>
      <c r="F23" s="13">
        <f>F21+F22</f>
        <v/>
      </c>
    </row>
    <row r="24">
      <c r="A24" s="16" t="inlineStr">
        <is>
          <t>AUTOLIQUIDACION DEL IMPUESTO</t>
        </is>
      </c>
    </row>
    <row r="25">
      <c r="A25" s="14" t="n">
        <v>27</v>
      </c>
      <c r="B25" s="12" t="inlineStr">
        <is>
          <t>TOTAL IMPUESTO DEL PERÍODO (Si Débitos &gt; Créditos)</t>
        </is>
      </c>
      <c r="E25" s="14" t="n">
        <v>53</v>
      </c>
      <c r="F25" s="13">
        <f>IF(F14&gt;F23, F14-F23, 0)</f>
        <v/>
      </c>
    </row>
    <row r="26">
      <c r="A26" s="14" t="n">
        <v>28</v>
      </c>
      <c r="B26" s="12" t="inlineStr">
        <is>
          <t>Excedente crédito fiscal para el mes siguiente (Si Créditos &gt; Débitos)</t>
        </is>
      </c>
      <c r="E26" s="14" t="n">
        <v>60</v>
      </c>
      <c r="F26" s="13">
        <f>IF(F23&gt;F14, F23-F14, 0)</f>
        <v/>
      </c>
    </row>
    <row r="27">
      <c r="A27" s="14" t="n">
        <v>33</v>
      </c>
      <c r="B27" s="10" t="inlineStr">
        <is>
          <t>Retenciones acumuladas por descontar (Meses anteriores)</t>
        </is>
      </c>
      <c r="C27" s="14" t="n">
        <v>54</v>
      </c>
      <c r="D27" s="11" t="n">
        <v>45000</v>
      </c>
    </row>
    <row r="28">
      <c r="A28" s="14" t="n">
        <v>34</v>
      </c>
      <c r="B28" s="10" t="inlineStr">
        <is>
          <t>Retenciones del período (Recibidas de Clientes)</t>
        </is>
      </c>
      <c r="C28" s="14" t="n">
        <v>66</v>
      </c>
      <c r="D28" s="11">
        <f>VENTAS!K34</f>
        <v/>
      </c>
    </row>
    <row r="29">
      <c r="A29" s="14" t="n">
        <v>37</v>
      </c>
      <c r="B29" s="12" t="inlineStr">
        <is>
          <t>Total Retenciones Disponibles</t>
        </is>
      </c>
      <c r="C29" s="14" t="n">
        <v>74</v>
      </c>
      <c r="D29" s="13">
        <f>D27+D28</f>
        <v/>
      </c>
    </row>
    <row r="30">
      <c r="A30" s="14" t="n">
        <v>38</v>
      </c>
      <c r="B30" s="10" t="inlineStr">
        <is>
          <t>Retenciones soportadas y descontadas en esta declaración</t>
        </is>
      </c>
      <c r="E30" s="14" t="n">
        <v>55</v>
      </c>
      <c r="F30" s="11">
        <f>MIN(F25, D29)</f>
        <v/>
      </c>
    </row>
    <row r="31">
      <c r="A31" s="14" t="n">
        <v>39</v>
      </c>
      <c r="B31" s="10" t="inlineStr">
        <is>
          <t>Saldo de retenciones IVA no aplicado (Excedente para el mes siguiente)</t>
        </is>
      </c>
      <c r="C31" s="14" t="n">
        <v>67</v>
      </c>
      <c r="D31" s="11">
        <f>D29-F30</f>
        <v/>
      </c>
    </row>
    <row r="32">
      <c r="A32" s="14" t="n">
        <v>48</v>
      </c>
      <c r="B32" s="12" t="inlineStr">
        <is>
          <t>TOTAL A PAGAR DE IVA EN ESTE PERÍODO</t>
        </is>
      </c>
      <c r="E32" s="14" t="n">
        <v>90</v>
      </c>
      <c r="F32" s="17">
        <f>MAX(0, F25-F30)</f>
        <v/>
      </c>
    </row>
  </sheetData>
  <mergeCells count="3">
    <mergeCell ref="A8:F8"/>
    <mergeCell ref="A15:F15"/>
    <mergeCell ref="A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2026-10-05T15:21:04Z</dcterms:created>
  <dcterms:modified xmlns:dcterms="http://purl.org/dc/terms/" xmlns:xsi="http://www.w3.org/2001/XMLSchema-instance" xsi:type="dcterms:W3CDTF">2026-10-07T01:12:35+00:00Z</dcterms:modified>
</cp:coreProperties>
</file>